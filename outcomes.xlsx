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a274606/Documents/Previous Laptop/E/Masters - Canada/Fall Term/BSMM8740/Lab/2025-lab-3_hossainmufiduwindsor/2025-lab-7_hossainmufiduwindsor/data/"/>
    </mc:Choice>
  </mc:AlternateContent>
  <xr:revisionPtr revIDLastSave="0" documentId="13_ncr:1_{2995BD38-31C6-3145-A951-0E0C79337491}" xr6:coauthVersionLast="47" xr6:coauthVersionMax="47" xr10:uidLastSave="{00000000-0000-0000-0000-000000000000}"/>
  <bookViews>
    <workbookView xWindow="32080" yWindow="740" windowWidth="29400" windowHeight="17420" xr2:uid="{00000000-000D-0000-FFFF-FFFF00000000}"/>
  </bookViews>
  <sheets>
    <sheet name="Potential outcom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0" i="1" l="1"/>
  <c r="R19" i="1"/>
  <c r="R18" i="1"/>
  <c r="R17" i="1"/>
  <c r="R16" i="1"/>
  <c r="T4" i="1"/>
  <c r="T5" i="1"/>
  <c r="T6" i="1"/>
  <c r="T7" i="1"/>
  <c r="T8" i="1"/>
  <c r="S8" i="1" s="1"/>
  <c r="T9" i="1"/>
  <c r="S9" i="1" s="1"/>
  <c r="T10" i="1"/>
  <c r="S10" i="1" s="1"/>
  <c r="T11" i="1"/>
  <c r="S11" i="1" s="1"/>
  <c r="T12" i="1"/>
  <c r="T3" i="1"/>
  <c r="R13" i="1"/>
  <c r="S5" i="1"/>
  <c r="S6" i="1"/>
  <c r="S7" i="1"/>
  <c r="R4" i="1"/>
  <c r="R5" i="1"/>
  <c r="R6" i="1"/>
  <c r="R7" i="1"/>
  <c r="R8" i="1"/>
  <c r="R9" i="1"/>
  <c r="R10" i="1"/>
  <c r="R11" i="1"/>
  <c r="R12" i="1"/>
  <c r="R3" i="1"/>
  <c r="K10" i="1"/>
  <c r="K9" i="1"/>
  <c r="K8" i="1"/>
  <c r="E20" i="1"/>
  <c r="E19" i="1"/>
  <c r="E18" i="1"/>
  <c r="E17" i="1"/>
  <c r="E16" i="1"/>
  <c r="E15" i="1"/>
  <c r="E14" i="1"/>
  <c r="E13" i="1"/>
  <c r="G4" i="1"/>
  <c r="G5" i="1"/>
  <c r="G6" i="1"/>
  <c r="G7" i="1"/>
  <c r="G8" i="1"/>
  <c r="G9" i="1"/>
  <c r="G10" i="1"/>
  <c r="G11" i="1"/>
  <c r="G12" i="1"/>
  <c r="G3" i="1"/>
  <c r="E4" i="1"/>
  <c r="E5" i="1"/>
  <c r="E6" i="1"/>
  <c r="E7" i="1"/>
  <c r="E8" i="1"/>
  <c r="E9" i="1"/>
  <c r="E10" i="1"/>
  <c r="E11" i="1"/>
  <c r="E12" i="1"/>
  <c r="E3" i="1"/>
  <c r="S12" i="1"/>
  <c r="S4" i="1"/>
  <c r="S3" i="1"/>
  <c r="R14" i="1" l="1"/>
  <c r="R15" i="1"/>
  <c r="F12" i="1"/>
  <c r="F11" i="1"/>
  <c r="F10" i="1"/>
  <c r="F9" i="1"/>
  <c r="F8" i="1"/>
  <c r="F7" i="1"/>
  <c r="F6" i="1"/>
  <c r="F5" i="1"/>
  <c r="F4" i="1"/>
  <c r="F3" i="1"/>
</calcChain>
</file>

<file path=xl/sharedStrings.xml><?xml version="1.0" encoding="utf-8"?>
<sst xmlns="http://schemas.openxmlformats.org/spreadsheetml/2006/main" count="91" uniqueCount="41">
  <si>
    <t>Person</t>
  </si>
  <si>
    <t>Y(1)</t>
  </si>
  <si>
    <t>Y(0)</t>
  </si>
  <si>
    <t>Delta Y(1)-Y(0)</t>
  </si>
  <si>
    <t>Y (Data)</t>
  </si>
  <si>
    <t>D (Treatment)</t>
  </si>
  <si>
    <t>Instructions</t>
  </si>
  <si>
    <t>Selina</t>
  </si>
  <si>
    <t>1. Calculate the individual treatment effects</t>
  </si>
  <si>
    <t>Tim</t>
  </si>
  <si>
    <t>2. Calculate the ATE</t>
  </si>
  <si>
    <t>Chad</t>
  </si>
  <si>
    <t>3. Assign males to treatment, females to control</t>
  </si>
  <si>
    <t>Derrick</t>
  </si>
  <si>
    <t>4. Use the switching equation and replace Y with Y1 or Y0 (columne E)</t>
  </si>
  <si>
    <t>Edith</t>
  </si>
  <si>
    <t>5. Calculate:</t>
  </si>
  <si>
    <t>Frank</t>
  </si>
  <si>
    <t>ATE</t>
  </si>
  <si>
    <t>George</t>
  </si>
  <si>
    <t>ATT</t>
  </si>
  <si>
    <t>Hannah</t>
  </si>
  <si>
    <t>ATU</t>
  </si>
  <si>
    <t>Ida</t>
  </si>
  <si>
    <t>6. Pick people with positive (zero or negative) treatment effects for treated (control)</t>
  </si>
  <si>
    <t>Janice</t>
  </si>
  <si>
    <t>7. Why did the ATE not change, but the ATT and ATU change?</t>
  </si>
  <si>
    <t>Percent D=1</t>
  </si>
  <si>
    <t>Percent D=0</t>
  </si>
  <si>
    <t>E[Y(1)|D=1]</t>
  </si>
  <si>
    <t>A causal effect has three ingredients</t>
  </si>
  <si>
    <t>E[Y(0)|D=1]</t>
  </si>
  <si>
    <t>1. individual treatment effects expressed with potential outcomes</t>
  </si>
  <si>
    <t>2. those individual treatment effects are based on WEIGHTED AVERAGES</t>
  </si>
  <si>
    <t>3. you're weighting over a POPULATION OF UNITS</t>
  </si>
  <si>
    <t>Gender</t>
  </si>
  <si>
    <t>F</t>
  </si>
  <si>
    <t>M</t>
  </si>
  <si>
    <t>Assign males to treatment, females to control</t>
  </si>
  <si>
    <t xml:space="preserve">Pick people with positive (&gt;= 0) treatment effects for treated </t>
  </si>
  <si>
    <t>The ATE didn’t change because it depends on the overall potential outcomes, which stayed the same, while ATT and ATU changed because the treatment assignment changed, altering who was included in each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</si>
</sst>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2"/>
      <color rgb="FF000000"/>
      <name val="Calibri"/>
      <family val="2"/>
    </font>
    <font>
      <sz val="10"/>
      <color theme="1"/>
      <name val="Arial"/>
      <family val="2"/>
      <scheme val="minor"/>
    </font>
    <font>
      <b/>
      <sz val="10"/>
      <color theme="1"/>
      <name val="Arial"/>
      <family val="2"/>
      <scheme val="minor"/>
    </font>
    <font>
      <sz val="12"/>
      <color rgb="FF000000"/>
      <name val="Calibri"/>
      <family val="2"/>
    </font>
    <font>
      <sz val="10"/>
      <color rgb="FF000000"/>
      <name val="Arial"/>
      <family val="2"/>
      <scheme val="minor"/>
    </font>
    <font>
      <sz val="10"/>
      <color theme="1"/>
      <name val="Arial"/>
      <family val="2"/>
    </font>
    <font>
      <sz val="10"/>
      <color theme="0"/>
      <name val="Arial"/>
      <family val="2"/>
      <scheme val="minor"/>
    </font>
    <font>
      <sz val="10"/>
      <color rgb="FF000000"/>
      <name val="Arial"/>
      <family val="2"/>
      <scheme val="minor"/>
    </font>
  </fonts>
  <fills count="11">
    <fill>
      <patternFill patternType="none"/>
    </fill>
    <fill>
      <patternFill patternType="gray125"/>
    </fill>
    <fill>
      <patternFill patternType="solid">
        <fgColor rgb="FFFFFF00"/>
        <bgColor rgb="FFFFFF00"/>
      </patternFill>
    </fill>
    <fill>
      <patternFill patternType="solid">
        <fgColor rgb="FFB6D7A8"/>
        <bgColor rgb="FFB6D7A8"/>
      </patternFill>
    </fill>
    <fill>
      <patternFill patternType="solid">
        <fgColor rgb="FFFFD966"/>
        <bgColor rgb="FFFFD966"/>
      </patternFill>
    </fill>
    <fill>
      <patternFill patternType="solid">
        <fgColor theme="1"/>
        <bgColor theme="1"/>
      </patternFill>
    </fill>
    <fill>
      <patternFill patternType="solid">
        <fgColor rgb="FF93C47D"/>
        <bgColor rgb="FF93C47D"/>
      </patternFill>
    </fill>
    <fill>
      <patternFill patternType="solid">
        <fgColor rgb="FFD5A6BD"/>
        <bgColor rgb="FFD5A6BD"/>
      </patternFill>
    </fill>
    <fill>
      <patternFill patternType="solid">
        <fgColor rgb="FFE69138"/>
        <bgColor rgb="FFE69138"/>
      </patternFill>
    </fill>
    <fill>
      <patternFill patternType="solid">
        <fgColor rgb="FFFF0000"/>
        <bgColor rgb="FFFF0000"/>
      </patternFill>
    </fill>
    <fill>
      <patternFill patternType="solid">
        <fgColor theme="4"/>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2">
    <xf numFmtId="0" fontId="0" fillId="0" borderId="0"/>
    <xf numFmtId="9" fontId="8" fillId="0" borderId="0" applyFont="0" applyFill="0" applyBorder="0" applyAlignment="0" applyProtection="0"/>
  </cellStyleXfs>
  <cellXfs count="29">
    <xf numFmtId="0" fontId="0" fillId="0" borderId="0" xfId="0"/>
    <xf numFmtId="0" fontId="1" fillId="0" borderId="1" xfId="0" applyFont="1" applyBorder="1" applyAlignment="1">
      <alignment vertical="top"/>
    </xf>
    <xf numFmtId="0" fontId="1" fillId="0" borderId="2" xfId="0" applyFont="1" applyBorder="1" applyAlignment="1">
      <alignment horizontal="center" vertical="top"/>
    </xf>
    <xf numFmtId="0" fontId="1" fillId="2" borderId="2" xfId="0" applyFont="1" applyFill="1" applyBorder="1" applyAlignment="1">
      <alignment horizontal="center" vertical="top"/>
    </xf>
    <xf numFmtId="0" fontId="1" fillId="3" borderId="2" xfId="0" applyFont="1" applyFill="1" applyBorder="1" applyAlignment="1">
      <alignment horizontal="center" vertical="top"/>
    </xf>
    <xf numFmtId="0" fontId="1" fillId="4" borderId="2" xfId="0" applyFont="1" applyFill="1" applyBorder="1" applyAlignment="1">
      <alignment horizontal="center" vertical="top"/>
    </xf>
    <xf numFmtId="0" fontId="2" fillId="5" borderId="0" xfId="0" applyFont="1" applyFill="1"/>
    <xf numFmtId="0" fontId="3" fillId="0" borderId="0" xfId="0" applyFont="1"/>
    <xf numFmtId="0" fontId="4" fillId="0" borderId="3" xfId="0" applyFont="1" applyBorder="1" applyAlignment="1">
      <alignment vertical="top"/>
    </xf>
    <xf numFmtId="0" fontId="4" fillId="0" borderId="4" xfId="0" applyFont="1" applyBorder="1" applyAlignment="1">
      <alignment horizontal="center" vertical="top"/>
    </xf>
    <xf numFmtId="0" fontId="2" fillId="2" borderId="4" xfId="0" applyFont="1" applyFill="1" applyBorder="1" applyAlignment="1">
      <alignment horizontal="center" vertical="top"/>
    </xf>
    <xf numFmtId="0" fontId="5" fillId="3" borderId="4" xfId="0" applyFont="1" applyFill="1" applyBorder="1" applyAlignment="1">
      <alignment horizontal="center" vertical="top"/>
    </xf>
    <xf numFmtId="0" fontId="6" fillId="4" borderId="1" xfId="0" applyFont="1" applyFill="1" applyBorder="1" applyAlignment="1">
      <alignment horizontal="center" vertical="top"/>
    </xf>
    <xf numFmtId="0" fontId="2" fillId="0" borderId="1" xfId="0" applyFont="1" applyBorder="1"/>
    <xf numFmtId="0" fontId="2" fillId="0" borderId="0" xfId="0" applyFont="1"/>
    <xf numFmtId="0" fontId="3" fillId="2" borderId="1" xfId="0" applyFont="1" applyFill="1" applyBorder="1"/>
    <xf numFmtId="0" fontId="3" fillId="6" borderId="1" xfId="0" applyFont="1" applyFill="1" applyBorder="1"/>
    <xf numFmtId="0" fontId="3" fillId="7" borderId="1" xfId="0" applyFont="1" applyFill="1" applyBorder="1"/>
    <xf numFmtId="0" fontId="2" fillId="8" borderId="1" xfId="0" applyFont="1" applyFill="1" applyBorder="1"/>
    <xf numFmtId="0" fontId="2" fillId="9" borderId="1" xfId="0" applyFont="1" applyFill="1" applyBorder="1"/>
    <xf numFmtId="0" fontId="1" fillId="0" borderId="2" xfId="0" applyFont="1" applyBorder="1" applyAlignment="1">
      <alignment vertical="top"/>
    </xf>
    <xf numFmtId="0" fontId="4" fillId="0" borderId="4" xfId="0" applyFont="1" applyBorder="1" applyAlignment="1">
      <alignment vertical="top"/>
    </xf>
    <xf numFmtId="0" fontId="7" fillId="10" borderId="5" xfId="0" applyFont="1" applyFill="1" applyBorder="1" applyAlignment="1">
      <alignment horizontal="center"/>
    </xf>
    <xf numFmtId="9" fontId="2" fillId="2" borderId="4" xfId="1" applyFont="1" applyFill="1" applyBorder="1" applyAlignment="1">
      <alignment horizontal="center" vertical="top"/>
    </xf>
    <xf numFmtId="2" fontId="2" fillId="2" borderId="4" xfId="0" applyNumberFormat="1" applyFont="1" applyFill="1" applyBorder="1" applyAlignment="1">
      <alignment horizontal="center" vertical="top"/>
    </xf>
    <xf numFmtId="2" fontId="3" fillId="2" borderId="1" xfId="0" applyNumberFormat="1" applyFont="1" applyFill="1" applyBorder="1"/>
    <xf numFmtId="2" fontId="3" fillId="0" borderId="0" xfId="0" applyNumberFormat="1" applyFont="1"/>
    <xf numFmtId="2" fontId="0" fillId="0" borderId="0" xfId="0" applyNumberFormat="1"/>
    <xf numFmtId="0" fontId="5" fillId="0" borderId="0" xfId="0"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56"/>
  <sheetViews>
    <sheetView tabSelected="1" topLeftCell="A3" zoomScale="140" zoomScaleNormal="140" workbookViewId="0">
      <selection activeCell="G22" sqref="G22"/>
    </sheetView>
  </sheetViews>
  <sheetFormatPr baseColWidth="10" defaultColWidth="12.6640625" defaultRowHeight="15.75" customHeight="1" x14ac:dyDescent="0.15"/>
  <cols>
    <col min="2" max="2" width="7.1640625" customWidth="1"/>
    <col min="3" max="4" width="11.83203125" customWidth="1"/>
    <col min="5" max="5" width="14.5" customWidth="1"/>
    <col min="8" max="8" width="2.33203125" customWidth="1"/>
    <col min="12" max="12" width="36.5" customWidth="1"/>
    <col min="13" max="13" width="2.33203125" customWidth="1"/>
  </cols>
  <sheetData>
    <row r="1" spans="1:20" ht="15.75" customHeight="1" x14ac:dyDescent="0.15">
      <c r="A1" s="22" t="s">
        <v>38</v>
      </c>
      <c r="B1" s="22"/>
      <c r="C1" s="22"/>
      <c r="D1" s="22"/>
      <c r="E1" s="22"/>
      <c r="F1" s="22"/>
      <c r="G1" s="22"/>
      <c r="N1" s="22" t="s">
        <v>39</v>
      </c>
      <c r="O1" s="22"/>
      <c r="P1" s="22"/>
      <c r="Q1" s="22"/>
      <c r="R1" s="22"/>
      <c r="S1" s="22"/>
      <c r="T1" s="22"/>
    </row>
    <row r="2" spans="1:20" ht="15.75" customHeight="1" x14ac:dyDescent="0.15">
      <c r="A2" s="1" t="s">
        <v>0</v>
      </c>
      <c r="B2" s="20" t="s">
        <v>35</v>
      </c>
      <c r="C2" s="2" t="s">
        <v>1</v>
      </c>
      <c r="D2" s="2" t="s">
        <v>2</v>
      </c>
      <c r="E2" s="3" t="s">
        <v>3</v>
      </c>
      <c r="F2" s="4" t="s">
        <v>4</v>
      </c>
      <c r="G2" s="5" t="s">
        <v>5</v>
      </c>
      <c r="H2" s="6"/>
      <c r="I2" s="7" t="s">
        <v>6</v>
      </c>
      <c r="M2" s="6"/>
      <c r="N2" s="1" t="s">
        <v>0</v>
      </c>
      <c r="O2" s="20" t="s">
        <v>35</v>
      </c>
      <c r="P2" s="2" t="s">
        <v>1</v>
      </c>
      <c r="Q2" s="2" t="s">
        <v>2</v>
      </c>
      <c r="R2" s="3" t="s">
        <v>3</v>
      </c>
      <c r="S2" s="4" t="s">
        <v>4</v>
      </c>
      <c r="T2" s="5" t="s">
        <v>5</v>
      </c>
    </row>
    <row r="3" spans="1:20" ht="15.75" customHeight="1" x14ac:dyDescent="0.15">
      <c r="A3" s="8" t="s">
        <v>7</v>
      </c>
      <c r="B3" s="21" t="s">
        <v>36</v>
      </c>
      <c r="C3" s="9">
        <v>15</v>
      </c>
      <c r="D3" s="9">
        <v>12</v>
      </c>
      <c r="E3" s="10">
        <f>C3-D3</f>
        <v>3</v>
      </c>
      <c r="F3" s="11">
        <f t="shared" ref="F3:F12" si="0">G3*C3+(1-G3)*D3</f>
        <v>12</v>
      </c>
      <c r="G3" s="12">
        <f>IF(B3="M", 1, 0)</f>
        <v>0</v>
      </c>
      <c r="H3" s="6"/>
      <c r="I3" s="13" t="s">
        <v>8</v>
      </c>
      <c r="J3" s="13"/>
      <c r="K3" s="13"/>
      <c r="M3" s="6"/>
      <c r="N3" s="8" t="s">
        <v>7</v>
      </c>
      <c r="O3" s="21" t="s">
        <v>36</v>
      </c>
      <c r="P3" s="9">
        <v>15</v>
      </c>
      <c r="Q3" s="9">
        <v>12</v>
      </c>
      <c r="R3" s="10">
        <f>P3-Q3</f>
        <v>3</v>
      </c>
      <c r="S3" s="11">
        <f t="shared" ref="S3:S12" si="1">T3*P3+(1-T3)*Q3</f>
        <v>15</v>
      </c>
      <c r="T3" s="12">
        <f>IF(R3&gt;=0,1,0)</f>
        <v>1</v>
      </c>
    </row>
    <row r="4" spans="1:20" ht="15.75" customHeight="1" x14ac:dyDescent="0.15">
      <c r="A4" s="8" t="s">
        <v>9</v>
      </c>
      <c r="B4" s="21" t="s">
        <v>37</v>
      </c>
      <c r="C4" s="9">
        <v>5</v>
      </c>
      <c r="D4" s="9">
        <v>10</v>
      </c>
      <c r="E4" s="10">
        <f t="shared" ref="E4:E12" si="2">C4-D4</f>
        <v>-5</v>
      </c>
      <c r="F4" s="11">
        <f t="shared" si="0"/>
        <v>5</v>
      </c>
      <c r="G4" s="12">
        <f t="shared" ref="G4:G12" si="3">IF(B4="M", 1, 0)</f>
        <v>1</v>
      </c>
      <c r="H4" s="6"/>
      <c r="I4" s="13" t="s">
        <v>10</v>
      </c>
      <c r="J4" s="13"/>
      <c r="M4" s="6"/>
      <c r="N4" s="8" t="s">
        <v>9</v>
      </c>
      <c r="O4" s="21" t="s">
        <v>37</v>
      </c>
      <c r="P4" s="9">
        <v>5</v>
      </c>
      <c r="Q4" s="9">
        <v>10</v>
      </c>
      <c r="R4" s="10">
        <f t="shared" ref="R4:R12" si="4">P4-Q4</f>
        <v>-5</v>
      </c>
      <c r="S4" s="11">
        <f t="shared" si="1"/>
        <v>10</v>
      </c>
      <c r="T4" s="12">
        <f t="shared" ref="T4:T12" si="5">IF(R4&gt;=0,1,0)</f>
        <v>0</v>
      </c>
    </row>
    <row r="5" spans="1:20" ht="15.75" customHeight="1" x14ac:dyDescent="0.15">
      <c r="A5" s="8" t="s">
        <v>11</v>
      </c>
      <c r="B5" s="21" t="s">
        <v>37</v>
      </c>
      <c r="C5" s="9">
        <v>17</v>
      </c>
      <c r="D5" s="9">
        <v>11</v>
      </c>
      <c r="E5" s="10">
        <f t="shared" si="2"/>
        <v>6</v>
      </c>
      <c r="F5" s="11">
        <f t="shared" si="0"/>
        <v>17</v>
      </c>
      <c r="G5" s="12">
        <f t="shared" si="3"/>
        <v>1</v>
      </c>
      <c r="H5" s="6"/>
      <c r="I5" s="13" t="s">
        <v>12</v>
      </c>
      <c r="J5" s="13"/>
      <c r="K5" s="13"/>
      <c r="L5" s="13"/>
      <c r="M5" s="6"/>
      <c r="N5" s="8" t="s">
        <v>11</v>
      </c>
      <c r="O5" s="21" t="s">
        <v>37</v>
      </c>
      <c r="P5" s="9">
        <v>17</v>
      </c>
      <c r="Q5" s="9">
        <v>11</v>
      </c>
      <c r="R5" s="10">
        <f t="shared" si="4"/>
        <v>6</v>
      </c>
      <c r="S5" s="11">
        <f t="shared" si="1"/>
        <v>17</v>
      </c>
      <c r="T5" s="12">
        <f t="shared" si="5"/>
        <v>1</v>
      </c>
    </row>
    <row r="6" spans="1:20" ht="15.75" customHeight="1" x14ac:dyDescent="0.15">
      <c r="A6" s="8" t="s">
        <v>13</v>
      </c>
      <c r="B6" s="21" t="s">
        <v>37</v>
      </c>
      <c r="C6" s="9">
        <v>10</v>
      </c>
      <c r="D6" s="9">
        <v>9</v>
      </c>
      <c r="E6" s="10">
        <f t="shared" si="2"/>
        <v>1</v>
      </c>
      <c r="F6" s="11">
        <f t="shared" si="0"/>
        <v>10</v>
      </c>
      <c r="G6" s="12">
        <f t="shared" si="3"/>
        <v>1</v>
      </c>
      <c r="H6" s="6"/>
      <c r="I6" s="14" t="s">
        <v>14</v>
      </c>
      <c r="M6" s="6"/>
      <c r="N6" s="8" t="s">
        <v>13</v>
      </c>
      <c r="O6" s="21" t="s">
        <v>37</v>
      </c>
      <c r="P6" s="9">
        <v>10</v>
      </c>
      <c r="Q6" s="9">
        <v>9</v>
      </c>
      <c r="R6" s="10">
        <f t="shared" si="4"/>
        <v>1</v>
      </c>
      <c r="S6" s="11">
        <f t="shared" si="1"/>
        <v>10</v>
      </c>
      <c r="T6" s="12">
        <f t="shared" si="5"/>
        <v>1</v>
      </c>
    </row>
    <row r="7" spans="1:20" ht="15.75" customHeight="1" x14ac:dyDescent="0.15">
      <c r="A7" s="8" t="s">
        <v>15</v>
      </c>
      <c r="B7" s="21" t="s">
        <v>36</v>
      </c>
      <c r="C7" s="9">
        <v>9</v>
      </c>
      <c r="D7" s="9">
        <v>9</v>
      </c>
      <c r="E7" s="10">
        <f t="shared" si="2"/>
        <v>0</v>
      </c>
      <c r="F7" s="11">
        <f t="shared" si="0"/>
        <v>9</v>
      </c>
      <c r="G7" s="12">
        <f t="shared" si="3"/>
        <v>0</v>
      </c>
      <c r="H7" s="6"/>
      <c r="I7" s="14" t="s">
        <v>16</v>
      </c>
      <c r="M7" s="6"/>
      <c r="N7" s="8" t="s">
        <v>15</v>
      </c>
      <c r="O7" s="21" t="s">
        <v>36</v>
      </c>
      <c r="P7" s="9">
        <v>9</v>
      </c>
      <c r="Q7" s="9">
        <v>9</v>
      </c>
      <c r="R7" s="10">
        <f t="shared" si="4"/>
        <v>0</v>
      </c>
      <c r="S7" s="11">
        <f t="shared" si="1"/>
        <v>9</v>
      </c>
      <c r="T7" s="12">
        <f t="shared" si="5"/>
        <v>1</v>
      </c>
    </row>
    <row r="8" spans="1:20" ht="15.75" customHeight="1" x14ac:dyDescent="0.15">
      <c r="A8" s="8" t="s">
        <v>17</v>
      </c>
      <c r="B8" s="21" t="s">
        <v>37</v>
      </c>
      <c r="C8" s="9">
        <v>1</v>
      </c>
      <c r="D8" s="9">
        <v>5</v>
      </c>
      <c r="E8" s="10">
        <f t="shared" si="2"/>
        <v>-4</v>
      </c>
      <c r="F8" s="11">
        <f t="shared" si="0"/>
        <v>1</v>
      </c>
      <c r="G8" s="12">
        <f t="shared" si="3"/>
        <v>1</v>
      </c>
      <c r="H8" s="6"/>
      <c r="J8" s="15" t="s">
        <v>18</v>
      </c>
      <c r="K8" s="25">
        <f>E13</f>
        <v>-0.3</v>
      </c>
      <c r="L8" s="14"/>
      <c r="M8" s="6"/>
      <c r="N8" s="8" t="s">
        <v>17</v>
      </c>
      <c r="O8" s="21" t="s">
        <v>37</v>
      </c>
      <c r="P8" s="9">
        <v>1</v>
      </c>
      <c r="Q8" s="9">
        <v>5</v>
      </c>
      <c r="R8" s="10">
        <f t="shared" si="4"/>
        <v>-4</v>
      </c>
      <c r="S8" s="11">
        <f t="shared" si="1"/>
        <v>5</v>
      </c>
      <c r="T8" s="12">
        <f t="shared" si="5"/>
        <v>0</v>
      </c>
    </row>
    <row r="9" spans="1:20" ht="15.75" customHeight="1" x14ac:dyDescent="0.15">
      <c r="A9" s="8" t="s">
        <v>19</v>
      </c>
      <c r="B9" s="21" t="s">
        <v>37</v>
      </c>
      <c r="C9" s="9">
        <v>13</v>
      </c>
      <c r="D9" s="9">
        <v>9</v>
      </c>
      <c r="E9" s="10">
        <f t="shared" si="2"/>
        <v>4</v>
      </c>
      <c r="F9" s="11">
        <f t="shared" si="0"/>
        <v>13</v>
      </c>
      <c r="G9" s="12">
        <f t="shared" si="3"/>
        <v>1</v>
      </c>
      <c r="H9" s="6"/>
      <c r="J9" s="7" t="s">
        <v>20</v>
      </c>
      <c r="K9" s="26">
        <f>E14</f>
        <v>0.4</v>
      </c>
      <c r="L9" s="14"/>
      <c r="M9" s="6"/>
      <c r="N9" s="8" t="s">
        <v>19</v>
      </c>
      <c r="O9" s="21" t="s">
        <v>37</v>
      </c>
      <c r="P9" s="9">
        <v>13</v>
      </c>
      <c r="Q9" s="9">
        <v>9</v>
      </c>
      <c r="R9" s="10">
        <f t="shared" si="4"/>
        <v>4</v>
      </c>
      <c r="S9" s="11">
        <f t="shared" si="1"/>
        <v>13</v>
      </c>
      <c r="T9" s="12">
        <f t="shared" si="5"/>
        <v>1</v>
      </c>
    </row>
    <row r="10" spans="1:20" ht="15.75" customHeight="1" x14ac:dyDescent="0.15">
      <c r="A10" s="8" t="s">
        <v>21</v>
      </c>
      <c r="B10" s="21" t="s">
        <v>36</v>
      </c>
      <c r="C10" s="9">
        <v>10</v>
      </c>
      <c r="D10" s="9">
        <v>8</v>
      </c>
      <c r="E10" s="10">
        <f t="shared" si="2"/>
        <v>2</v>
      </c>
      <c r="F10" s="11">
        <f t="shared" si="0"/>
        <v>8</v>
      </c>
      <c r="G10" s="12">
        <f t="shared" si="3"/>
        <v>0</v>
      </c>
      <c r="H10" s="6"/>
      <c r="J10" s="7" t="s">
        <v>22</v>
      </c>
      <c r="K10" s="27">
        <f>E15</f>
        <v>-1</v>
      </c>
      <c r="L10" s="14"/>
      <c r="M10" s="6"/>
      <c r="N10" s="8" t="s">
        <v>21</v>
      </c>
      <c r="O10" s="21" t="s">
        <v>36</v>
      </c>
      <c r="P10" s="9">
        <v>10</v>
      </c>
      <c r="Q10" s="9">
        <v>8</v>
      </c>
      <c r="R10" s="10">
        <f t="shared" si="4"/>
        <v>2</v>
      </c>
      <c r="S10" s="11">
        <f t="shared" si="1"/>
        <v>10</v>
      </c>
      <c r="T10" s="12">
        <f t="shared" si="5"/>
        <v>1</v>
      </c>
    </row>
    <row r="11" spans="1:20" ht="15.75" customHeight="1" x14ac:dyDescent="0.15">
      <c r="A11" s="8" t="s">
        <v>23</v>
      </c>
      <c r="B11" s="21" t="s">
        <v>36</v>
      </c>
      <c r="C11" s="9">
        <v>9</v>
      </c>
      <c r="D11" s="9">
        <v>12</v>
      </c>
      <c r="E11" s="10">
        <f t="shared" si="2"/>
        <v>-3</v>
      </c>
      <c r="F11" s="11">
        <f t="shared" si="0"/>
        <v>12</v>
      </c>
      <c r="G11" s="12">
        <f t="shared" si="3"/>
        <v>0</v>
      </c>
      <c r="H11" s="6"/>
      <c r="I11" s="14" t="s">
        <v>24</v>
      </c>
      <c r="M11" s="6"/>
      <c r="N11" s="8" t="s">
        <v>23</v>
      </c>
      <c r="O11" s="21" t="s">
        <v>36</v>
      </c>
      <c r="P11" s="9">
        <v>9</v>
      </c>
      <c r="Q11" s="9">
        <v>12</v>
      </c>
      <c r="R11" s="10">
        <f t="shared" si="4"/>
        <v>-3</v>
      </c>
      <c r="S11" s="11">
        <f t="shared" si="1"/>
        <v>12</v>
      </c>
      <c r="T11" s="12">
        <f t="shared" si="5"/>
        <v>0</v>
      </c>
    </row>
    <row r="12" spans="1:20" ht="15.75" customHeight="1" x14ac:dyDescent="0.15">
      <c r="A12" s="8" t="s">
        <v>25</v>
      </c>
      <c r="B12" s="21" t="s">
        <v>36</v>
      </c>
      <c r="C12" s="9">
        <v>8</v>
      </c>
      <c r="D12" s="9">
        <v>15</v>
      </c>
      <c r="E12" s="10">
        <f t="shared" si="2"/>
        <v>-7</v>
      </c>
      <c r="F12" s="11">
        <f t="shared" si="0"/>
        <v>15</v>
      </c>
      <c r="G12" s="12">
        <f t="shared" si="3"/>
        <v>0</v>
      </c>
      <c r="H12" s="6"/>
      <c r="J12" s="15" t="s">
        <v>18</v>
      </c>
      <c r="K12" s="25">
        <v>-0.3</v>
      </c>
      <c r="L12" s="14"/>
      <c r="M12" s="6"/>
      <c r="N12" s="8" t="s">
        <v>25</v>
      </c>
      <c r="O12" s="21" t="s">
        <v>36</v>
      </c>
      <c r="P12" s="9">
        <v>8</v>
      </c>
      <c r="Q12" s="9">
        <v>15</v>
      </c>
      <c r="R12" s="10">
        <f t="shared" si="4"/>
        <v>-7</v>
      </c>
      <c r="S12" s="11">
        <f t="shared" si="1"/>
        <v>15</v>
      </c>
      <c r="T12" s="12">
        <f t="shared" si="5"/>
        <v>0</v>
      </c>
    </row>
    <row r="13" spans="1:20" ht="15.75" customHeight="1" x14ac:dyDescent="0.15">
      <c r="D13" s="15" t="s">
        <v>18</v>
      </c>
      <c r="E13" s="10">
        <f>AVERAGE(E3:E12)</f>
        <v>-0.3</v>
      </c>
      <c r="F13" s="11"/>
      <c r="H13" s="6"/>
      <c r="J13" s="7" t="s">
        <v>20</v>
      </c>
      <c r="K13" s="26">
        <v>2.6666666666666665</v>
      </c>
      <c r="L13" s="14"/>
      <c r="M13" s="6"/>
      <c r="Q13" s="15" t="s">
        <v>18</v>
      </c>
      <c r="R13" s="10">
        <f>AVERAGE(R3:R12)</f>
        <v>-0.3</v>
      </c>
      <c r="S13" s="11"/>
    </row>
    <row r="14" spans="1:20" ht="15.75" customHeight="1" x14ac:dyDescent="0.15">
      <c r="A14" s="14"/>
      <c r="B14" s="14"/>
      <c r="D14" s="16" t="s">
        <v>20</v>
      </c>
      <c r="E14" s="10">
        <f>AVERAGEIF(G3:G12, 1, E3:E12)</f>
        <v>0.4</v>
      </c>
      <c r="F14" s="11"/>
      <c r="H14" s="6"/>
      <c r="J14" s="7" t="s">
        <v>22</v>
      </c>
      <c r="K14" s="27">
        <v>-4.75</v>
      </c>
      <c r="L14" s="14"/>
      <c r="M14" s="6"/>
      <c r="N14" s="14"/>
      <c r="O14" s="14"/>
      <c r="Q14" s="16" t="s">
        <v>20</v>
      </c>
      <c r="R14" s="24">
        <f>AVERAGEIF(T3:T12, 1, R3:R12)</f>
        <v>2.6666666666666665</v>
      </c>
      <c r="S14" s="11"/>
    </row>
    <row r="15" spans="1:20" ht="15.75" customHeight="1" x14ac:dyDescent="0.15">
      <c r="D15" s="17" t="s">
        <v>22</v>
      </c>
      <c r="E15" s="10">
        <f>AVERAGEIF(G3:G12,0,E3:E12)</f>
        <v>-1</v>
      </c>
      <c r="F15" s="11"/>
      <c r="H15" s="6"/>
      <c r="I15" s="14" t="s">
        <v>26</v>
      </c>
      <c r="M15" s="6"/>
      <c r="Q15" s="17" t="s">
        <v>22</v>
      </c>
      <c r="R15" s="10">
        <f>AVERAGEIF(T3:T12,0,R3:R12)</f>
        <v>-4.75</v>
      </c>
      <c r="S15" s="11"/>
    </row>
    <row r="16" spans="1:20" ht="15.75" customHeight="1" x14ac:dyDescent="0.15">
      <c r="D16" s="18" t="s">
        <v>27</v>
      </c>
      <c r="E16" s="23">
        <f>COUNTIF(G3:G12, 1)/COUNTA(G3:G12)</f>
        <v>0.5</v>
      </c>
      <c r="F16" s="11"/>
      <c r="H16" s="6"/>
      <c r="I16" s="28" t="s">
        <v>40</v>
      </c>
      <c r="M16" s="6"/>
      <c r="Q16" s="18" t="s">
        <v>27</v>
      </c>
      <c r="R16" s="23">
        <f>COUNTIF(T3:T12, 1)/COUNTA(T3:T12)</f>
        <v>0.6</v>
      </c>
      <c r="S16" s="11"/>
    </row>
    <row r="17" spans="1:19" ht="15.75" customHeight="1" x14ac:dyDescent="0.15">
      <c r="D17" s="19" t="s">
        <v>28</v>
      </c>
      <c r="E17" s="23">
        <f>COUNTIF(G3:G12, 0)/COUNTA(G3:G12)</f>
        <v>0.5</v>
      </c>
      <c r="F17" s="11"/>
      <c r="Q17" s="19" t="s">
        <v>28</v>
      </c>
      <c r="R17" s="23">
        <f>COUNTIF(T3:T12, 0)/COUNTA(T3:T12)</f>
        <v>0.4</v>
      </c>
      <c r="S17" s="11"/>
    </row>
    <row r="18" spans="1:19" ht="15.75" customHeight="1" x14ac:dyDescent="0.15">
      <c r="D18" s="14" t="s">
        <v>29</v>
      </c>
      <c r="E18" s="10">
        <f>AVERAGEIF(G3:G12,1,C3:C12)</f>
        <v>9.1999999999999993</v>
      </c>
      <c r="F18" s="11"/>
      <c r="I18" s="14" t="s">
        <v>30</v>
      </c>
      <c r="Q18" s="14" t="s">
        <v>29</v>
      </c>
      <c r="R18" s="24">
        <f>AVERAGEIF(T3:T12,1,P3:P12)</f>
        <v>12.333333333333334</v>
      </c>
      <c r="S18" s="11"/>
    </row>
    <row r="19" spans="1:19" ht="15.75" customHeight="1" x14ac:dyDescent="0.15">
      <c r="D19" s="14" t="s">
        <v>31</v>
      </c>
      <c r="E19" s="10">
        <f>AVERAGEIF(G3:G12,1,D3:D12)</f>
        <v>8.8000000000000007</v>
      </c>
      <c r="F19" s="11"/>
      <c r="J19" s="14" t="s">
        <v>32</v>
      </c>
      <c r="Q19" s="14" t="s">
        <v>31</v>
      </c>
      <c r="R19" s="24">
        <f>AVERAGEIF(T3:T12,1,Q3:Q12)</f>
        <v>9.6666666666666661</v>
      </c>
      <c r="S19" s="11"/>
    </row>
    <row r="20" spans="1:19" ht="15.75" customHeight="1" x14ac:dyDescent="0.15">
      <c r="D20" s="14" t="s">
        <v>20</v>
      </c>
      <c r="E20" s="10">
        <f>E18-E19</f>
        <v>0.39999999999999858</v>
      </c>
      <c r="F20" s="11"/>
      <c r="J20" s="14" t="s">
        <v>33</v>
      </c>
      <c r="Q20" s="14" t="s">
        <v>20</v>
      </c>
      <c r="R20" s="24">
        <f>R18-R19</f>
        <v>2.6666666666666679</v>
      </c>
      <c r="S20" s="11"/>
    </row>
    <row r="21" spans="1:19" ht="15.75" customHeight="1" x14ac:dyDescent="0.15">
      <c r="A21" s="14"/>
      <c r="B21" s="14"/>
      <c r="C21" s="14"/>
      <c r="D21" s="14"/>
      <c r="E21" s="14"/>
      <c r="J21" s="14" t="s">
        <v>34</v>
      </c>
    </row>
    <row r="23" spans="1:19" ht="15.75" customHeight="1" x14ac:dyDescent="0.15">
      <c r="A23" s="14"/>
      <c r="B23" s="14"/>
      <c r="I23" s="14"/>
    </row>
    <row r="24" spans="1:19" ht="15.75" customHeight="1" x14ac:dyDescent="0.15">
      <c r="C24" s="14"/>
      <c r="J24" s="14"/>
    </row>
    <row r="25" spans="1:19" ht="15.75" customHeight="1" x14ac:dyDescent="0.15">
      <c r="C25" s="14"/>
    </row>
    <row r="28" spans="1:19" ht="15.75" customHeight="1" x14ac:dyDescent="0.15">
      <c r="A28" s="14"/>
      <c r="B28" s="14"/>
    </row>
    <row r="29" spans="1:19" ht="15.75" customHeight="1" x14ac:dyDescent="0.15">
      <c r="A29" s="14"/>
      <c r="B29" s="14"/>
      <c r="J29" s="14"/>
    </row>
    <row r="30" spans="1:19" ht="15.75" customHeight="1" x14ac:dyDescent="0.15">
      <c r="C30" s="14"/>
      <c r="J30" s="14"/>
    </row>
    <row r="31" spans="1:19" ht="15.75" customHeight="1" x14ac:dyDescent="0.15">
      <c r="C31" s="14"/>
      <c r="J31" s="14"/>
    </row>
    <row r="32" spans="1:19" ht="15.75" customHeight="1" x14ac:dyDescent="0.15">
      <c r="C32" s="14"/>
      <c r="J32" s="14"/>
    </row>
    <row r="34" spans="1:5" ht="15.75" customHeight="1" x14ac:dyDescent="0.15">
      <c r="A34" s="14"/>
      <c r="B34" s="14"/>
    </row>
    <row r="35" spans="1:5" ht="15.75" customHeight="1" x14ac:dyDescent="0.15">
      <c r="C35" s="14"/>
    </row>
    <row r="36" spans="1:5" ht="15.75" customHeight="1" x14ac:dyDescent="0.15">
      <c r="D36" s="14"/>
    </row>
    <row r="37" spans="1:5" ht="15.75" customHeight="1" x14ac:dyDescent="0.15">
      <c r="D37" s="14"/>
    </row>
    <row r="38" spans="1:5" ht="15.75" customHeight="1" x14ac:dyDescent="0.15">
      <c r="E38" s="14"/>
    </row>
    <row r="39" spans="1:5" ht="15.75" customHeight="1" x14ac:dyDescent="0.15">
      <c r="D39" s="14"/>
    </row>
    <row r="40" spans="1:5" ht="15.75" customHeight="1" x14ac:dyDescent="0.15">
      <c r="E40" s="14"/>
    </row>
    <row r="42" spans="1:5" ht="15.75" customHeight="1" x14ac:dyDescent="0.15">
      <c r="A42" s="14"/>
      <c r="B42" s="14"/>
    </row>
    <row r="43" spans="1:5" ht="15.75" customHeight="1" x14ac:dyDescent="0.15">
      <c r="C43" s="14"/>
    </row>
    <row r="44" spans="1:5" ht="15.75" customHeight="1" x14ac:dyDescent="0.15">
      <c r="C44" s="14"/>
    </row>
    <row r="45" spans="1:5" ht="15.75" customHeight="1" x14ac:dyDescent="0.15">
      <c r="C45" s="14"/>
    </row>
    <row r="47" spans="1:5" ht="15.75" customHeight="1" x14ac:dyDescent="0.15">
      <c r="C47" s="14"/>
    </row>
    <row r="50" spans="1:5" ht="15.75" customHeight="1" x14ac:dyDescent="0.15">
      <c r="A50" s="14"/>
      <c r="B50" s="14"/>
    </row>
    <row r="51" spans="1:5" ht="15.75" customHeight="1" x14ac:dyDescent="0.15">
      <c r="C51" s="14"/>
    </row>
    <row r="52" spans="1:5" ht="15.75" customHeight="1" x14ac:dyDescent="0.15">
      <c r="C52" s="14"/>
    </row>
    <row r="53" spans="1:5" ht="15.75" customHeight="1" x14ac:dyDescent="0.15">
      <c r="D53" s="14"/>
    </row>
    <row r="54" spans="1:5" ht="15.75" customHeight="1" x14ac:dyDescent="0.15">
      <c r="E54" s="14"/>
    </row>
    <row r="55" spans="1:5" ht="15.75" customHeight="1" x14ac:dyDescent="0.15">
      <c r="C55" s="14"/>
    </row>
    <row r="56" spans="1:5" ht="15.75" customHeight="1" x14ac:dyDescent="0.15">
      <c r="C56" s="14"/>
    </row>
  </sheetData>
  <mergeCells count="2">
    <mergeCell ref="A1:G1"/>
    <mergeCell ref="N1:T1"/>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Potential outcomes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MUFID HOSSAIN</cp:lastModifiedBy>
  <dcterms:modified xsi:type="dcterms:W3CDTF">2025-11-03T14:18:42Z</dcterms:modified>
</cp:coreProperties>
</file>